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质量检测表" sheetId="1" state="visible" r:id="rId1"/>
  </sheets>
  <definedNames>
    <definedName name="_xlnm._FilterDatabase" localSheetId="0" hidden="1">'尺寸质量检测表'!$A$5:$I$17</definedName>
    <definedName name="_xlnm.Print_Titles" localSheetId="0">'尺寸质量检测表'!$1:$5</definedName>
    <definedName name="_xlnm.Print_Area" localSheetId="0">'尺寸质量检测表'!$A$1:$I$17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###"/>
  </numFmts>
  <fonts count="8">
    <font>
      <name val="Calibri"/>
      <family val="2"/>
      <color theme="1"/>
      <sz val="11"/>
      <scheme val="minor"/>
    </font>
    <font>
      <name val="Noto Serif CJK SC"/>
      <b val="1"/>
      <color rgb="00111111"/>
      <sz val="20"/>
    </font>
    <font>
      <name val="Noto Sans CJK SC"/>
      <color rgb="00444444"/>
      <sz val="10"/>
    </font>
    <font>
      <name val="Noto Sans CJK SC"/>
      <b val="1"/>
      <color rgb="00D9272E"/>
      <sz val="10.5"/>
    </font>
    <font>
      <name val="Noto Sans CJK SC"/>
      <b val="1"/>
      <color rgb="00FFFFFF"/>
      <sz val="10.5"/>
    </font>
    <font>
      <name val="Noto Sans CJK SC"/>
      <b val="1"/>
      <color rgb="00FFFFFF"/>
      <sz val="10"/>
    </font>
    <font>
      <name val="Noto Sans CJK SC"/>
      <color rgb="00F06B2B"/>
      <sz val="10"/>
    </font>
    <font>
      <name val="Noto Sans CJK SC"/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5334E"/>
      </patternFill>
    </fill>
    <fill>
      <patternFill patternType="solid">
        <fgColor rgb="00FFF2DF"/>
      </patternFill>
    </fill>
    <fill>
      <patternFill patternType="solid">
        <fgColor rgb="00C23ACF"/>
      </patternFill>
    </fill>
    <fill>
      <patternFill patternType="solid">
        <fgColor rgb="00178BFF"/>
      </patternFill>
    </fill>
    <fill>
      <patternFill patternType="solid">
        <fgColor rgb="0022B14C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0" fontId="3" fillId="0" borderId="1" applyAlignment="1" applyProtection="1" pivotButton="0" quotePrefix="0" xfId="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164" fontId="2" fillId="0" borderId="1" applyAlignment="1" applyProtection="1" pivotButton="0" quotePrefix="0" xfId="0">
      <alignment horizontal="center" vertical="center"/>
      <protection locked="0" hidden="0"/>
    </xf>
    <xf numFmtId="164" fontId="5" fillId="3" borderId="1" applyAlignment="1" applyProtection="1" pivotButton="0" quotePrefix="0" xfId="0">
      <alignment horizontal="center" vertical="center"/>
      <protection locked="0" hidden="0"/>
    </xf>
    <xf numFmtId="164" fontId="6" fillId="4" borderId="1" applyAlignment="1" applyProtection="1" pivotButton="0" quotePrefix="0" xfId="0">
      <alignment horizontal="center" vertical="center"/>
      <protection locked="0" hidden="0"/>
    </xf>
    <xf numFmtId="164" fontId="7" fillId="4" borderId="1" applyAlignment="1" applyProtection="1" pivotButton="0" quotePrefix="0" xfId="0">
      <alignment horizontal="center" vertical="center"/>
      <protection locked="0" hidden="0"/>
    </xf>
    <xf numFmtId="164" fontId="0" fillId="0" borderId="0" applyProtection="1" pivotButton="0" quotePrefix="0" xfId="0">
      <protection locked="0" hidden="0"/>
    </xf>
    <xf numFmtId="164" fontId="5" fillId="5" borderId="1" applyAlignment="1" applyProtection="1" pivotButton="0" quotePrefix="0" xfId="0">
      <alignment horizontal="center" vertical="center"/>
      <protection locked="0" hidden="0"/>
    </xf>
    <xf numFmtId="164" fontId="5" fillId="6" borderId="1" applyAlignment="1" applyProtection="1" pivotButton="0" quotePrefix="0" xfId="0">
      <alignment horizontal="center" vertical="center"/>
      <protection locked="0" hidden="0"/>
    </xf>
    <xf numFmtId="164" fontId="5" fillId="7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dxfs count="6">
    <dxf>
      <font>
        <name val="Noto Sans CJK SC"/>
        <b val="1"/>
        <color rgb="00FFFFFF"/>
        <sz val="10"/>
      </font>
      <fill>
        <patternFill patternType="solid">
          <fgColor rgb="00E5334E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178BFF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22B14C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C23ACF"/>
        </patternFill>
      </fill>
    </dxf>
    <dxf>
      <font>
        <name val="Noto Sans CJK SC"/>
        <b val="1"/>
        <color rgb="0027833B"/>
        <sz val="10"/>
      </font>
    </dxf>
    <dxf>
      <font>
        <name val="Noto Sans CJK SC"/>
        <b val="1"/>
        <color rgb="00D927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Design QA</author>
  </authors>
  <commentList>
    <comment ref="H6" authorId="0" shapeId="0">
      <text>
        <t>质检人员填写实测值；留空时结果判定保持空白。</t>
      </text>
    </comment>
    <comment ref="H7" authorId="0" shapeId="0">
      <text>
        <t>质检人员填写实测值；留空时结果判定保持空白。</t>
      </text>
    </comment>
    <comment ref="H8" authorId="0" shapeId="0">
      <text>
        <t>质检人员填写实测值；留空时结果判定保持空白。</t>
      </text>
    </comment>
    <comment ref="H9" authorId="0" shapeId="0">
      <text>
        <t>质检人员填写实测值；留空时结果判定保持空白。</t>
      </text>
    </comment>
    <comment ref="H10" authorId="0" shapeId="0">
      <text>
        <t>质检人员填写实测值；留空时结果判定保持空白。</t>
      </text>
    </comment>
    <comment ref="H11" authorId="0" shapeId="0">
      <text>
        <t>质检人员填写实测值；留空时结果判定保持空白。</t>
      </text>
    </comment>
    <comment ref="H12" authorId="0" shapeId="0">
      <text>
        <t>质检人员填写实测值；留空时结果判定保持空白。</t>
      </text>
    </comment>
    <comment ref="H13" authorId="0" shapeId="0">
      <text>
        <t>质检人员填写实测值；留空时结果判定保持空白。</t>
      </text>
    </comment>
    <comment ref="H14" authorId="0" shapeId="0">
      <text>
        <t>质检人员填写实测值；留空时结果判定保持空白。</t>
      </text>
    </comment>
    <comment ref="H15" authorId="0" shapeId="0">
      <text>
        <t>质检人员填写实测值；留空时结果判定保持空白。</t>
      </text>
    </comment>
    <comment ref="H16" authorId="0" shapeId="0">
      <text>
        <t>质检人员填写实测值；留空时结果判定保持空白。</t>
      </text>
    </comment>
    <comment ref="H17" authorId="0" shapeId="0">
      <text>
        <t>质检人员填写实测值；留空时结果判定保持空白。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4" customWidth="1" min="4" max="4"/>
    <col width="16" customWidth="1" min="5" max="5"/>
    <col width="13" customWidth="1" min="6" max="6"/>
    <col width="13" customWidth="1" min="7" max="7"/>
    <col width="13" customWidth="1" min="8" max="8"/>
    <col width="15" customWidth="1" min="9" max="9"/>
    <col hidden="1" width="13" customWidth="1" min="10" max="10"/>
    <col hidden="1" width="13" customWidth="1" min="11" max="11"/>
  </cols>
  <sheetData>
    <row r="1" ht="36" customHeight="1">
      <c r="A1" s="1" t="inlineStr">
        <is>
          <t>机械图纸尺寸质量检测表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文件名：</t>
        </is>
      </c>
      <c r="B2" s="3" t="inlineStr">
        <is>
          <t>JS26032501-1-03-03</t>
        </is>
      </c>
      <c r="C2" s="3" t="n"/>
      <c r="D2" s="3" t="n"/>
      <c r="E2" s="3" t="inlineStr">
        <is>
          <t>检测日期：</t>
        </is>
      </c>
      <c r="F2" s="3" t="inlineStr">
        <is>
          <t>2026-07-21 09:06</t>
        </is>
      </c>
      <c r="G2" s="3" t="n"/>
      <c r="H2" s="3" t="inlineStr">
        <is>
          <t>带公差：</t>
        </is>
      </c>
      <c r="I2" s="3">
        <f>COUNT(F6:F17)</f>
        <v/>
      </c>
      <c r="J2" s="2" t="n"/>
      <c r="K2" s="2" t="n"/>
    </row>
    <row r="3" ht="24" customHeight="1">
      <c r="A3" s="3" t="inlineStr">
        <is>
          <t>总页数：</t>
        </is>
      </c>
      <c r="B3" s="3" t="n">
        <v>2</v>
      </c>
      <c r="C3" s="3" t="n"/>
      <c r="D3" s="3" t="n"/>
      <c r="E3" s="3" t="inlineStr">
        <is>
          <t>尺寸总数：</t>
        </is>
      </c>
      <c r="F3" s="3">
        <f>COUNTA(A6:A17)</f>
        <v/>
      </c>
      <c r="G3" s="3" t="n"/>
      <c r="H3" s="3" t="inlineStr">
        <is>
          <t>单位：</t>
        </is>
      </c>
      <c r="I3" s="3" t="inlineStr">
        <is>
          <t>mm</t>
        </is>
      </c>
      <c r="J3" s="2" t="n"/>
      <c r="K3" s="2" t="n"/>
    </row>
    <row r="4" ht="28" customHeight="1">
      <c r="A4" s="4" t="inlineStr">
        <is>
          <t>【未注公差标准】未注线性尺寸公差按 GB/T 1804-m 级执行；未注形位公差按 GB/T 1184-K 级执行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2" t="n"/>
      <c r="K4" s="2" t="n"/>
    </row>
    <row r="5" ht="27" customHeight="1">
      <c r="A5" s="6" t="inlineStr">
        <is>
          <t>编号</t>
        </is>
      </c>
      <c r="B5" s="6" t="inlineStr">
        <is>
          <t>页码</t>
        </is>
      </c>
      <c r="C5" s="6" t="inlineStr">
        <is>
          <t>类型</t>
        </is>
      </c>
      <c r="D5" s="6" t="inlineStr">
        <is>
          <t>基本尺寸</t>
        </is>
      </c>
      <c r="E5" s="6" t="inlineStr">
        <is>
          <t>公差</t>
        </is>
      </c>
      <c r="F5" s="6" t="inlineStr">
        <is>
          <t>上限</t>
        </is>
      </c>
      <c r="G5" s="6" t="inlineStr">
        <is>
          <t>下限</t>
        </is>
      </c>
      <c r="H5" s="6" t="inlineStr">
        <is>
          <t>检测值</t>
        </is>
      </c>
      <c r="I5" s="6" t="inlineStr">
        <is>
          <t>结果判定</t>
        </is>
      </c>
      <c r="J5" s="2" t="inlineStr">
        <is>
          <t>upper_tolerance</t>
        </is>
      </c>
      <c r="K5" s="2" t="inlineStr">
        <is>
          <t>lower_tolerance</t>
        </is>
      </c>
    </row>
    <row r="6" ht="24" customHeight="1">
      <c r="A6" s="7" t="n">
        <v>1</v>
      </c>
      <c r="B6" s="7" t="n">
        <v>1</v>
      </c>
      <c r="C6" s="8" t="inlineStr">
        <is>
          <t>线性</t>
        </is>
      </c>
      <c r="D6" s="7" t="n">
        <v>960</v>
      </c>
      <c r="E6" s="9" t="inlineStr"/>
      <c r="F6" s="9">
        <f>IF(OR(NOT(ISNUMBER(D6)),J6=""),"",D6+J6)</f>
        <v/>
      </c>
      <c r="G6" s="9">
        <f>IF(OR(NOT(ISNUMBER(D6)),K6=""),"",D6+K6)</f>
        <v/>
      </c>
      <c r="H6" s="9" t="n"/>
      <c r="I6" s="10">
        <f>IF(H6="","",IF(OR(F6="",G6=""),"",IF(AND(H6&lt;=F6,H6&gt;=G6),"OK","NG")))</f>
        <v/>
      </c>
      <c r="J6" s="11" t="n"/>
      <c r="K6" s="11" t="n"/>
    </row>
    <row r="7" ht="24" customHeight="1">
      <c r="A7" s="7" t="n">
        <v>2</v>
      </c>
      <c r="B7" s="7" t="n">
        <v>1</v>
      </c>
      <c r="C7" s="8" t="inlineStr">
        <is>
          <t>线性</t>
        </is>
      </c>
      <c r="D7" s="7" t="n">
        <v>500</v>
      </c>
      <c r="E7" s="9" t="inlineStr">
        <is>
          <t>±0.2</t>
        </is>
      </c>
      <c r="F7" s="9">
        <f>IF(OR(NOT(ISNUMBER(D7)),J7=""),"",D7+J7)</f>
        <v/>
      </c>
      <c r="G7" s="9">
        <f>IF(OR(NOT(ISNUMBER(D7)),K7=""),"",D7+K7)</f>
        <v/>
      </c>
      <c r="H7" s="9" t="n">
        <v>500.3</v>
      </c>
      <c r="I7" s="10">
        <f>IF(H7="","",IF(OR(F7="",G7=""),"",IF(AND(H7&lt;=F7,H7&gt;=G7),"OK","NG")))</f>
        <v/>
      </c>
      <c r="J7" s="11" t="n">
        <v>0.2</v>
      </c>
      <c r="K7" s="11" t="n">
        <v>-0.2</v>
      </c>
    </row>
    <row r="8" ht="24" customHeight="1">
      <c r="A8" s="7" t="n">
        <v>3</v>
      </c>
      <c r="B8" s="7" t="n">
        <v>1</v>
      </c>
      <c r="C8" s="8" t="inlineStr">
        <is>
          <t>线性</t>
        </is>
      </c>
      <c r="D8" s="7" t="n">
        <v>95</v>
      </c>
      <c r="E8" s="9" t="inlineStr"/>
      <c r="F8" s="9">
        <f>IF(OR(NOT(ISNUMBER(D8)),J8=""),"",D8+J8)</f>
        <v/>
      </c>
      <c r="G8" s="9">
        <f>IF(OR(NOT(ISNUMBER(D8)),K8=""),"",D8+K8)</f>
        <v/>
      </c>
      <c r="H8" s="9" t="n"/>
      <c r="I8" s="10">
        <f>IF(H8="","",IF(OR(F8="",G8=""),"",IF(AND(H8&lt;=F8,H8&gt;=G8),"OK","NG")))</f>
        <v/>
      </c>
      <c r="J8" s="11" t="n"/>
      <c r="K8" s="11" t="n"/>
    </row>
    <row r="9" ht="24" customHeight="1">
      <c r="A9" s="7" t="n">
        <v>4</v>
      </c>
      <c r="B9" s="7" t="n">
        <v>1</v>
      </c>
      <c r="C9" s="8" t="inlineStr">
        <is>
          <t>线性</t>
        </is>
      </c>
      <c r="D9" s="7" t="n">
        <v>0.1</v>
      </c>
      <c r="E9" s="9" t="inlineStr">
        <is>
          <t>±0.1</t>
        </is>
      </c>
      <c r="F9" s="9">
        <f>IF(OR(NOT(ISNUMBER(D9)),J9=""),"",D9+J9)</f>
        <v/>
      </c>
      <c r="G9" s="9">
        <f>IF(OR(NOT(ISNUMBER(D9)),K9=""),"",D9+K9)</f>
        <v/>
      </c>
      <c r="H9" s="9" t="n"/>
      <c r="I9" s="10">
        <f>IF(H9="","",IF(OR(F9="",G9=""),"",IF(AND(H9&lt;=F9,H9&gt;=G9),"OK","NG")))</f>
        <v/>
      </c>
      <c r="J9" s="11" t="n">
        <v>0.1</v>
      </c>
      <c r="K9" s="11" t="n">
        <v>-0.1</v>
      </c>
    </row>
    <row r="10" ht="24" customHeight="1">
      <c r="A10" s="7" t="n">
        <v>5</v>
      </c>
      <c r="B10" s="7" t="n">
        <v>1</v>
      </c>
      <c r="C10" s="8" t="inlineStr">
        <is>
          <t>线性</t>
        </is>
      </c>
      <c r="D10" s="7" t="inlineStr">
        <is>
          <t>4×4</t>
        </is>
      </c>
      <c r="E10" s="9" t="inlineStr">
        <is>
          <t>V48</t>
        </is>
      </c>
      <c r="F10" s="9">
        <f>IF(OR(NOT(ISNUMBER(D10)),J10=""),"",D10+J10)</f>
        <v/>
      </c>
      <c r="G10" s="9">
        <f>IF(OR(NOT(ISNUMBER(D10)),K10=""),"",D10+K10)</f>
        <v/>
      </c>
      <c r="H10" s="9" t="n"/>
      <c r="I10" s="10">
        <f>IF(H10="","",IF(OR(F10="",G10=""),"",IF(AND(H10&lt;=F10,H10&gt;=G10),"OK","NG")))</f>
        <v/>
      </c>
      <c r="J10" s="11" t="n"/>
      <c r="K10" s="11" t="n"/>
    </row>
    <row r="11" ht="24" customHeight="1">
      <c r="A11" s="7" t="n">
        <v>6</v>
      </c>
      <c r="B11" s="7" t="n">
        <v>1</v>
      </c>
      <c r="C11" s="8" t="inlineStr">
        <is>
          <t>线性</t>
        </is>
      </c>
      <c r="D11" s="7" t="inlineStr">
        <is>
          <t>3×3</t>
        </is>
      </c>
      <c r="E11" s="9" t="inlineStr"/>
      <c r="F11" s="9">
        <f>IF(OR(NOT(ISNUMBER(D11)),J11=""),"",D11+J11)</f>
        <v/>
      </c>
      <c r="G11" s="9">
        <f>IF(OR(NOT(ISNUMBER(D11)),K11=""),"",D11+K11)</f>
        <v/>
      </c>
      <c r="H11" s="9" t="n"/>
      <c r="I11" s="10">
        <f>IF(H11="","",IF(OR(F11="",G11=""),"",IF(AND(H11&lt;=F11,H11&gt;=G11),"OK","NG")))</f>
        <v/>
      </c>
      <c r="J11" s="11" t="n"/>
      <c r="K11" s="11" t="n"/>
    </row>
    <row r="12" ht="24" customHeight="1">
      <c r="A12" s="7" t="n">
        <v>7</v>
      </c>
      <c r="B12" s="7" t="n">
        <v>1</v>
      </c>
      <c r="C12" s="8" t="inlineStr">
        <is>
          <t>线性</t>
        </is>
      </c>
      <c r="D12" s="7" t="n">
        <v>3</v>
      </c>
      <c r="E12" s="9" t="inlineStr">
        <is>
          <t>+0.021/0</t>
        </is>
      </c>
      <c r="F12" s="9">
        <f>IF(OR(NOT(ISNUMBER(D12)),J12=""),"",D12+J12)</f>
        <v/>
      </c>
      <c r="G12" s="9">
        <f>IF(OR(NOT(ISNUMBER(D12)),K12=""),"",D12+K12)</f>
        <v/>
      </c>
      <c r="H12" s="9" t="n"/>
      <c r="I12" s="10">
        <f>IF(H12="","",IF(OR(F12="",G12=""),"",IF(AND(H12&lt;=F12,H12&gt;=G12),"OK","NG")))</f>
        <v/>
      </c>
      <c r="J12" s="11" t="n">
        <v>0.021</v>
      </c>
      <c r="K12" s="11" t="n">
        <v>0</v>
      </c>
    </row>
    <row r="13" ht="24" customHeight="1">
      <c r="A13" s="7" t="n">
        <v>8</v>
      </c>
      <c r="B13" s="7" t="n">
        <v>1</v>
      </c>
      <c r="C13" s="12" t="inlineStr">
        <is>
          <t>粗糙度</t>
        </is>
      </c>
      <c r="D13" s="7" t="inlineStr">
        <is>
          <t>Ra3.2</t>
        </is>
      </c>
      <c r="E13" s="9" t="inlineStr"/>
      <c r="F13" s="9">
        <f>IF(OR(NOT(ISNUMBER(D13)),J13=""),"",D13+J13)</f>
        <v/>
      </c>
      <c r="G13" s="9">
        <f>IF(OR(NOT(ISNUMBER(D13)),K13=""),"",D13+K13)</f>
        <v/>
      </c>
      <c r="H13" s="9" t="n"/>
      <c r="I13" s="10">
        <f>IF(H13="","",IF(OR(F13="",G13=""),"",IF(AND(H13&lt;=F13,H13&gt;=G13),"OK","NG")))</f>
        <v/>
      </c>
      <c r="J13" s="11" t="n"/>
      <c r="K13" s="11" t="n"/>
    </row>
    <row r="14" ht="24" customHeight="1">
      <c r="A14" s="7" t="n">
        <v>9</v>
      </c>
      <c r="B14" s="7" t="n">
        <v>1</v>
      </c>
      <c r="C14" s="13" t="inlineStr">
        <is>
          <t>直径</t>
        </is>
      </c>
      <c r="D14" s="7" t="inlineStr">
        <is>
          <t>Φ20</t>
        </is>
      </c>
      <c r="E14" s="9" t="inlineStr"/>
      <c r="F14" s="9">
        <f>IF(OR(NOT(ISNUMBER(D14)),J14=""),"",D14+J14)</f>
        <v/>
      </c>
      <c r="G14" s="9">
        <f>IF(OR(NOT(ISNUMBER(D14)),K14=""),"",D14+K14)</f>
        <v/>
      </c>
      <c r="H14" s="9" t="n"/>
      <c r="I14" s="10">
        <f>IF(H14="","",IF(OR(F14="",G14=""),"",IF(AND(H14&lt;=F14,H14&gt;=G14),"OK","NG")))</f>
        <v/>
      </c>
      <c r="J14" s="11" t="n"/>
      <c r="K14" s="11" t="n"/>
    </row>
    <row r="15" ht="24" customHeight="1">
      <c r="A15" s="7" t="n">
        <v>10</v>
      </c>
      <c r="B15" s="7" t="n">
        <v>1</v>
      </c>
      <c r="C15" s="14" t="inlineStr">
        <is>
          <t>半径</t>
        </is>
      </c>
      <c r="D15" s="7" t="inlineStr">
        <is>
          <t>R35</t>
        </is>
      </c>
      <c r="E15" s="9" t="inlineStr"/>
      <c r="F15" s="9">
        <f>IF(OR(NOT(ISNUMBER(D15)),J15=""),"",D15+J15)</f>
        <v/>
      </c>
      <c r="G15" s="9">
        <f>IF(OR(NOT(ISNUMBER(D15)),K15=""),"",D15+K15)</f>
        <v/>
      </c>
      <c r="H15" s="9" t="n"/>
      <c r="I15" s="10">
        <f>IF(H15="","",IF(OR(F15="",G15=""),"",IF(AND(H15&lt;=F15,H15&gt;=G15),"OK","NG")))</f>
        <v/>
      </c>
      <c r="J15" s="11" t="n"/>
      <c r="K15" s="11" t="n"/>
    </row>
    <row r="16" ht="24" customHeight="1">
      <c r="A16" s="7" t="n">
        <v>11</v>
      </c>
      <c r="B16" s="7" t="n">
        <v>2</v>
      </c>
      <c r="C16" s="8" t="inlineStr">
        <is>
          <t>线性</t>
        </is>
      </c>
      <c r="D16" s="7" t="n">
        <v>480</v>
      </c>
      <c r="E16" s="9" t="inlineStr"/>
      <c r="F16" s="9">
        <f>IF(OR(NOT(ISNUMBER(D16)),J16=""),"",D16+J16)</f>
        <v/>
      </c>
      <c r="G16" s="9">
        <f>IF(OR(NOT(ISNUMBER(D16)),K16=""),"",D16+K16)</f>
        <v/>
      </c>
      <c r="H16" s="9" t="n"/>
      <c r="I16" s="10">
        <f>IF(H16="","",IF(OR(F16="",G16=""),"",IF(AND(H16&lt;=F16,H16&gt;=G16),"OK","NG")))</f>
        <v/>
      </c>
      <c r="J16" s="11" t="n"/>
      <c r="K16" s="11" t="n"/>
    </row>
    <row r="17" ht="24" customHeight="1">
      <c r="A17" s="7" t="n">
        <v>12</v>
      </c>
      <c r="B17" s="7" t="n">
        <v>2</v>
      </c>
      <c r="C17" s="13" t="inlineStr">
        <is>
          <t>直径</t>
        </is>
      </c>
      <c r="D17" s="7" t="n">
        <v>10</v>
      </c>
      <c r="E17" s="9" t="inlineStr">
        <is>
          <t>±0.05</t>
        </is>
      </c>
      <c r="F17" s="9">
        <f>IF(OR(NOT(ISNUMBER(D17)),J17=""),"",D17+J17)</f>
        <v/>
      </c>
      <c r="G17" s="9">
        <f>IF(OR(NOT(ISNUMBER(D17)),K17=""),"",D17+K17)</f>
        <v/>
      </c>
      <c r="H17" s="9" t="n">
        <v>10.02</v>
      </c>
      <c r="I17" s="10">
        <f>IF(H17="","",IF(OR(F17="",G17=""),"",IF(AND(H17&lt;=F17,H17&gt;=G17),"OK","NG")))</f>
        <v/>
      </c>
      <c r="J17" s="11" t="n">
        <v>0.05</v>
      </c>
      <c r="K17" s="11" t="n">
        <v>-0.05</v>
      </c>
    </row>
  </sheetData>
  <autoFilter ref="A5:I17"/>
  <mergeCells count="6">
    <mergeCell ref="F3:G3"/>
    <mergeCell ref="F2:G2"/>
    <mergeCell ref="B3:D3"/>
    <mergeCell ref="A1:I1"/>
    <mergeCell ref="A4:I4"/>
    <mergeCell ref="B2:D2"/>
  </mergeCells>
  <conditionalFormatting sqref="C6:C17">
    <cfRule type="expression" priority="1" dxfId="0">
      <formula>$C6="线性"</formula>
    </cfRule>
    <cfRule type="expression" priority="2" dxfId="1">
      <formula>$C6="直径"</formula>
    </cfRule>
    <cfRule type="expression" priority="3" dxfId="2">
      <formula>$C6="半径"</formula>
    </cfRule>
    <cfRule type="expression" priority="4" dxfId="3">
      <formula>$C6="粗糙度"</formula>
    </cfRule>
  </conditionalFormatting>
  <conditionalFormatting sqref="I6:I17">
    <cfRule type="cellIs" priority="5" operator="equal" dxfId="4">
      <formula>"OK"</formula>
    </cfRule>
    <cfRule type="cellIs" priority="6" operator="equal" dxfId="5">
      <formula>"NG"</formula>
    </cfRule>
  </conditionalFormatting>
  <dataValidations count="1">
    <dataValidation sqref="C6:C17" showDropDown="0" showInputMessage="0" showErrorMessage="0" allowBlank="0" type="list">
      <formula1>"线性,直径,半径,粗糙度"</formula1>
    </dataValidation>
  </dataValidations>
  <printOptions horizontalCentered="1"/>
  <pageMargins left="0.25" right="0.25" top="0.3" bottom="0.3" header="0.1" footer="0.1"/>
  <pageSetup orientation="landscape" paperSize="9" fitToHeight="1" fitToWidth="1"/>
  <headerFooter>
    <oddHeader/>
    <oddFooter>&amp;C&amp;8 &amp;K888888非生产设计对比稿｜待用户/领导确认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2026-07-31T05:51:09Z</dcterms:created>
  <dcterms:modified xsi:type="dcterms:W3CDTF">2026-07-31T05:51:09Z</dcterms:modified>
</cp:coreProperties>
</file>